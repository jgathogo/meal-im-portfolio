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ple Size Calcula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0">
    <font>
      <name val="Calibri"/>
      <family val="2"/>
      <color theme="1"/>
      <sz val="11"/>
      <scheme val="minor"/>
    </font>
    <font>
      <name val="Arial"/>
      <b val="1"/>
      <color rgb="001C1917"/>
      <sz val="14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sz val="11"/>
    </font>
    <font>
      <name val="Arial"/>
      <i val="1"/>
      <color rgb="0078716C"/>
      <sz val="9"/>
    </font>
    <font>
      <name val="Arial"/>
      <b val="1"/>
      <sz val="12"/>
    </font>
    <font>
      <name val="Arial"/>
      <sz val="10"/>
    </font>
    <font>
      <name val="Arial"/>
      <b val="1"/>
      <color rgb="00166534"/>
      <sz val="16"/>
    </font>
    <font>
      <name val="Arial"/>
      <b val="1"/>
      <color rgb="00166534"/>
      <sz val="12"/>
    </font>
  </fonts>
  <fills count="5">
    <fill>
      <patternFill/>
    </fill>
    <fill>
      <patternFill patternType="gray125"/>
    </fill>
    <fill>
      <patternFill patternType="solid">
        <fgColor rgb="001C1917"/>
        <bgColor rgb="001C1917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</fills>
  <borders count="2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3" fontId="7" fillId="0" borderId="0" pivotButton="0" quotePrefix="0" xfId="0"/>
    <xf numFmtId="3" fontId="6" fillId="4" borderId="0" pivotButton="0" quotePrefix="0" xfId="0"/>
    <xf numFmtId="0" fontId="9" fillId="0" borderId="0" pivotButton="0" quotePrefix="0" xfId="0"/>
    <xf numFmtId="3" fontId="8" fillId="4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45309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35" customWidth="1" min="3" max="3"/>
  </cols>
  <sheetData>
    <row r="1">
      <c r="A1" s="1" t="inlineStr">
        <is>
          <t>MORTALITY SURVEY SAMPLE SIZE CALCULATOR</t>
        </is>
      </c>
    </row>
    <row r="3">
      <c r="A3" s="2" t="inlineStr">
        <is>
          <t>PARAMETER</t>
        </is>
      </c>
      <c r="B3" s="2" t="inlineStr">
        <is>
          <t>VALUE</t>
        </is>
      </c>
      <c r="C3" s="2" t="inlineStr">
        <is>
          <t>GUIDANCE</t>
        </is>
      </c>
    </row>
    <row r="4">
      <c r="A4" s="3" t="inlineStr">
        <is>
          <t>Expected CDR (/10,000/day)</t>
        </is>
      </c>
      <c r="B4" s="4" t="n">
        <v>0.5</v>
      </c>
      <c r="C4" s="5" t="inlineStr">
        <is>
          <t>Baseline sub-Saharan Africa: ~0.5</t>
        </is>
      </c>
    </row>
    <row r="5">
      <c r="A5" s="3" t="inlineStr">
        <is>
          <t>Desired precision (+/-)</t>
        </is>
      </c>
      <c r="B5" s="4" t="n">
        <v>0.3</v>
      </c>
      <c r="C5" s="5" t="inlineStr">
        <is>
          <t>Typically 0.3-0.5</t>
        </is>
      </c>
    </row>
    <row r="6">
      <c r="A6" s="3" t="inlineStr">
        <is>
          <t>Recall period (days)</t>
        </is>
      </c>
      <c r="B6" s="4" t="n">
        <v>90</v>
      </c>
      <c r="C6" s="5" t="inlineStr">
        <is>
          <t>Standard: 90 days</t>
        </is>
      </c>
    </row>
    <row r="7">
      <c r="A7" s="3" t="inlineStr">
        <is>
          <t>Average household size</t>
        </is>
      </c>
      <c r="B7" s="4" t="n">
        <v>5</v>
      </c>
      <c r="C7" s="5" t="inlineStr">
        <is>
          <t>Typically 4-7</t>
        </is>
      </c>
    </row>
    <row r="8">
      <c r="A8" s="3" t="inlineStr">
        <is>
          <t>Design effect (DEFF)</t>
        </is>
      </c>
      <c r="B8" s="4" t="n">
        <v>2</v>
      </c>
      <c r="C8" s="5" t="inlineStr">
        <is>
          <t>Typical: 1.5-2.0</t>
        </is>
      </c>
    </row>
    <row r="9">
      <c r="A9" s="3" t="inlineStr">
        <is>
          <t>Non-response rate (%)</t>
        </is>
      </c>
      <c r="B9" s="4" t="n">
        <v>10</v>
      </c>
      <c r="C9" s="5" t="inlineStr">
        <is>
          <t>Typically 5-10%</t>
        </is>
      </c>
    </row>
    <row r="10">
      <c r="A10" s="3" t="inlineStr">
        <is>
          <t>Number of clusters</t>
        </is>
      </c>
      <c r="B10" s="4" t="n">
        <v>25</v>
      </c>
      <c r="C10" s="5" t="inlineStr">
        <is>
          <t>Standard: 25-30</t>
        </is>
      </c>
    </row>
    <row r="13">
      <c r="A13" s="6" t="inlineStr">
        <is>
          <t>CALCULATION</t>
        </is>
      </c>
    </row>
    <row r="14">
      <c r="A14" s="3" t="inlineStr">
        <is>
          <t>Daily rate</t>
        </is>
      </c>
      <c r="B14" s="7">
        <f>B4/10000</f>
        <v/>
      </c>
    </row>
    <row r="15">
      <c r="A15" s="3" t="inlineStr">
        <is>
          <t>Z-alpha (95%)</t>
        </is>
      </c>
      <c r="B15" s="8" t="n">
        <v>1.96</v>
      </c>
    </row>
    <row r="16">
      <c r="A16" s="3" t="inlineStr">
        <is>
          <t>Variance numerator</t>
        </is>
      </c>
      <c r="B16" s="7">
        <f>B15*B15*B14*(1-B14*B7)</f>
        <v/>
      </c>
    </row>
    <row r="17">
      <c r="A17" s="3" t="inlineStr">
        <is>
          <t>Precision squared</t>
        </is>
      </c>
      <c r="B17" s="7">
        <f>(B5/10000)^2</f>
        <v/>
      </c>
    </row>
    <row r="18">
      <c r="A18" s="3" t="inlineStr">
        <is>
          <t>SRS person-days needed</t>
        </is>
      </c>
      <c r="B18" s="9">
        <f>B16/B17</f>
        <v/>
      </c>
    </row>
    <row r="19">
      <c r="A19" s="3" t="inlineStr">
        <is>
          <t>SRS persons needed</t>
        </is>
      </c>
      <c r="B19" s="9">
        <f>B18/B7</f>
        <v/>
      </c>
    </row>
    <row r="20">
      <c r="A20" s="3" t="inlineStr">
        <is>
          <t>Cluster-adjusted persons</t>
        </is>
      </c>
      <c r="B20" s="7">
        <f>B19*B8</f>
        <v/>
      </c>
    </row>
    <row r="21">
      <c r="A21" s="3" t="inlineStr">
        <is>
          <t>After non-response</t>
        </is>
      </c>
      <c r="B21" s="7">
        <f>B20/(1-B9/100)</f>
        <v/>
      </c>
    </row>
    <row r="22">
      <c r="A22" s="3" t="inlineStr">
        <is>
          <t>Total households needed</t>
        </is>
      </c>
      <c r="B22" s="9">
        <f>ROUNDUP(B21/B8,0)</f>
        <v/>
      </c>
    </row>
    <row r="23">
      <c r="A23" s="3" t="inlineStr">
        <is>
          <t>Households per cluster</t>
        </is>
      </c>
      <c r="B23" s="10">
        <f>ROUNDUP(B22/B10,0)</f>
        <v/>
      </c>
    </row>
    <row r="24">
      <c r="A24" s="11" t="inlineStr">
        <is>
          <t>FINAL: Total households</t>
        </is>
      </c>
      <c r="B24" s="12">
        <f>B23*B10</f>
        <v/>
      </c>
    </row>
    <row r="27">
      <c r="A27" s="13" t="inlineStr">
        <is>
          <t>REFERENCE</t>
        </is>
      </c>
    </row>
    <row r="28">
      <c r="A28" s="8" t="inlineStr">
        <is>
          <t>CDR emergency threshold: 1.0 / 10,000 / day</t>
        </is>
      </c>
    </row>
    <row r="29">
      <c r="A29" s="8" t="inlineStr">
        <is>
          <t>U5DR emergency threshold: 2.0 / 10,000 / day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2026-03-30T15:31:58Z</dcterms:created>
  <dcterms:modified xmlns:dcterms="http://purl.org/dc/terms/" xmlns:xsi="http://www.w3.org/2001/XMLSchema-instance" xsi:type="dcterms:W3CDTF">2026-03-30T15:31:58Z</dcterms:modified>
</cp:coreProperties>
</file>